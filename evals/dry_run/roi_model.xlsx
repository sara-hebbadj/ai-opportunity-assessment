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C01 model" sheetId="2" state="visible" r:id="rId2"/>
    <sheet name="UC02 model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357812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357812" cy="274796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ROI model for the top 2 AI use cases: Falcon Bay Services LLC (fictional).</t>
        </is>
      </c>
    </row>
    <row r="2">
      <c r="A2" t="inlineStr">
        <is>
          <t>Built by python -m evals.run rebuild. Change any yellow input cell: the results recalculate.</t>
        </is>
      </c>
    </row>
    <row r="3">
      <c r="A3" t="inlineStr">
        <is>
          <t>Sources: 'measured: event log' = BPI Challenge 2020 Domestic Declarations (CC BY-NC 4.0, 2018 cases);</t>
        </is>
      </c>
    </row>
    <row r="4">
      <c r="A4" t="inlineStr">
        <is>
          <t>'measured: prototype' = OpenRouter cost per claim from the pre-check run; 'assumption' = labelled guess</t>
        </is>
      </c>
    </row>
    <row r="5">
      <c r="A5" t="inlineStr">
        <is>
          <t>with a low and a high value, to be replaced with the client's own numbers.</t>
        </is>
      </c>
    </row>
    <row r="6">
      <c r="A6" t="inlineStr">
        <is>
          <t>Money in AED. 3-year net = 3 x (annual benefit - AI cost - run cost) - build cost. No discounting.</t>
        </is>
      </c>
    </row>
    <row r="7">
      <c r="A7" t="inlineStr">
        <is>
          <t>Faster reimbursement for employees is a real benefit but is NOT counted in AED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12" customWidth="1" min="4" max="4"/>
    <col width="16" customWidth="1" min="5" max="5"/>
    <col width="22" customWidth="1" min="6" max="6"/>
    <col width="70" customWidth="1" min="7" max="7"/>
  </cols>
  <sheetData>
    <row r="1">
      <c r="A1" s="1" t="inlineStr">
        <is>
          <t>UC01 Receipt and policy pre-check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Low</t>
        </is>
      </c>
      <c r="D3" s="2" t="inlineStr">
        <is>
          <t>High</t>
        </is>
      </c>
      <c r="E3" s="2" t="inlineStr">
        <is>
          <t>Unit</t>
        </is>
      </c>
      <c r="F3" s="2" t="inlineStr">
        <is>
          <t>Source</t>
        </is>
      </c>
      <c r="G3" s="2" t="inlineStr">
        <is>
          <t>Description</t>
        </is>
      </c>
    </row>
    <row r="4">
      <c r="A4" t="inlineStr">
        <is>
          <t>annual_claims</t>
        </is>
      </c>
      <c r="B4" s="3" t="n">
        <v>8260</v>
      </c>
      <c r="C4" t="n">
        <v>4130</v>
      </c>
      <c r="D4" t="n">
        <v>12390</v>
      </c>
      <c r="E4" t="inlineStr">
        <is>
          <t>claims/year</t>
        </is>
      </c>
      <c r="F4" t="inlineStr">
        <is>
          <t>measured: event log</t>
        </is>
      </c>
      <c r="G4" t="inlineStr">
        <is>
          <t>Claims per year (set from the event log's 2018 volume when the model is built)</t>
        </is>
      </c>
    </row>
    <row r="5">
      <c r="A5" t="inlineStr">
        <is>
          <t>staff_cost_per_hour</t>
        </is>
      </c>
      <c r="B5" s="3" t="n">
        <v>120</v>
      </c>
      <c r="C5" t="n">
        <v>80</v>
      </c>
      <c r="D5" t="n">
        <v>180</v>
      </c>
      <c r="E5" t="inlineStr">
        <is>
          <t>AED/hour</t>
        </is>
      </c>
      <c r="F5" t="inlineStr">
        <is>
          <t>assumption</t>
        </is>
      </c>
      <c r="G5" t="inlineStr">
        <is>
          <t>Loaded cost of an employee or finance clerk hour (blended, Dubai)</t>
        </is>
      </c>
    </row>
    <row r="6">
      <c r="A6" t="inlineStr">
        <is>
          <t>approver_cost_per_hour</t>
        </is>
      </c>
      <c r="B6" s="3" t="n">
        <v>300</v>
      </c>
      <c r="C6" t="n">
        <v>200</v>
      </c>
      <c r="D6" t="n">
        <v>400</v>
      </c>
      <c r="E6" t="inlineStr">
        <is>
          <t>AED/hour</t>
        </is>
      </c>
      <c r="F6" t="inlineStr">
        <is>
          <t>assumption</t>
        </is>
      </c>
      <c r="G6" t="inlineStr">
        <is>
          <t>Loaded cost of a supervisor or budget-owner hour</t>
        </is>
      </c>
    </row>
    <row r="7">
      <c r="A7" t="inlineStr">
        <is>
          <t>usd_to_aed</t>
        </is>
      </c>
      <c r="B7" s="3" t="n">
        <v>3.6725</v>
      </c>
      <c r="C7" t="n">
        <v>3.6725</v>
      </c>
      <c r="D7" t="n">
        <v>3.6725</v>
      </c>
      <c r="E7" t="inlineStr">
        <is>
          <t>AED per USD</t>
        </is>
      </c>
      <c r="F7" t="inlineStr">
        <is>
          <t>fact: UAE dirham peg</t>
        </is>
      </c>
      <c r="G7" t="inlineStr">
        <is>
          <t>US dollar to UAE dirham (fixed peg)</t>
        </is>
      </c>
    </row>
    <row r="8">
      <c r="A8" t="inlineStr">
        <is>
          <t>llm_cost_per_claim_usd</t>
        </is>
      </c>
      <c r="B8" s="3" t="n">
        <v>0</v>
      </c>
      <c r="C8" t="n">
        <v>0</v>
      </c>
      <c r="D8" t="n">
        <v>0</v>
      </c>
      <c r="E8" t="inlineStr">
        <is>
          <t>USD/claim</t>
        </is>
      </c>
      <c r="F8" t="inlineStr">
        <is>
          <t>measured: prototype</t>
        </is>
      </c>
      <c r="G8" t="inlineStr">
        <is>
          <t>Model cost per claim (set from the measured prototype cost when the model is built)</t>
        </is>
      </c>
    </row>
    <row r="9">
      <c r="A9" t="inlineStr">
        <is>
          <t>rejection_rate</t>
        </is>
      </c>
      <c r="B9" s="3" t="n">
        <v>0.1297820823244552</v>
      </c>
      <c r="C9" t="n">
        <v>0.09084745762711864</v>
      </c>
      <c r="D9" t="n">
        <v>0.1687167070217918</v>
      </c>
      <c r="E9" t="inlineStr">
        <is>
          <t>share</t>
        </is>
      </c>
      <c r="F9" t="inlineStr">
        <is>
          <t>measured: event log</t>
        </is>
      </c>
      <c r="G9" t="inlineStr">
        <is>
          <t>Share of claims rejected at least once (set from the 2018 cases when the model is built)</t>
        </is>
      </c>
    </row>
    <row r="10">
      <c r="A10" t="inlineStr">
        <is>
          <t>prevent_share</t>
        </is>
      </c>
      <c r="B10" s="3" t="n">
        <v>0.4</v>
      </c>
      <c r="C10" t="n">
        <v>0.2</v>
      </c>
      <c r="D10" t="n">
        <v>0.6</v>
      </c>
      <c r="E10" t="inlineStr">
        <is>
          <t>share</t>
        </is>
      </c>
      <c r="F10" t="inlineStr">
        <is>
          <t>assumption</t>
        </is>
      </c>
      <c r="G10" t="inlineStr">
        <is>
          <t>Share of rejections the pre-check prevents (to be measured in the pilot)</t>
        </is>
      </c>
    </row>
    <row r="11">
      <c r="A11" t="inlineStr">
        <is>
          <t>rework_staff_minutes</t>
        </is>
      </c>
      <c r="B11" s="3" t="n">
        <v>40</v>
      </c>
      <c r="C11" t="n">
        <v>20</v>
      </c>
      <c r="D11" t="n">
        <v>60</v>
      </c>
      <c r="E11" t="inlineStr">
        <is>
          <t>minutes</t>
        </is>
      </c>
      <c r="F11" t="inlineStr">
        <is>
          <t>assumption</t>
        </is>
      </c>
      <c r="G11" t="inlineStr">
        <is>
          <t>Staff minutes per rejection (clerk re-checks, employee fixes and resubmits)</t>
        </is>
      </c>
    </row>
    <row r="12">
      <c r="A12" t="inlineStr">
        <is>
          <t>admin_minutes_saved_per_claim</t>
        </is>
      </c>
      <c r="B12" s="3" t="n">
        <v>1</v>
      </c>
      <c r="C12" t="n">
        <v>0</v>
      </c>
      <c r="D12" t="n">
        <v>3</v>
      </c>
      <c r="E12" t="inlineStr">
        <is>
          <t>minutes</t>
        </is>
      </c>
      <c r="F12" t="inlineStr">
        <is>
          <t>assumption</t>
        </is>
      </c>
      <c r="G12" t="inlineStr">
        <is>
          <t>Clerk minutes saved per claim because claims arrive cleaner</t>
        </is>
      </c>
    </row>
    <row r="13">
      <c r="A13" t="inlineStr">
        <is>
          <t>employee_minutes_added_per_claim</t>
        </is>
      </c>
      <c r="B13" s="3" t="n">
        <v>0.5</v>
      </c>
      <c r="C13" t="n">
        <v>0</v>
      </c>
      <c r="D13" t="n">
        <v>1.5</v>
      </c>
      <c r="E13" t="inlineStr">
        <is>
          <t>minutes</t>
        </is>
      </c>
      <c r="F13" t="inlineStr">
        <is>
          <t>assumption</t>
        </is>
      </c>
      <c r="G13" t="inlineStr">
        <is>
          <t>Employee minutes spent reading pre-check warnings</t>
        </is>
      </c>
    </row>
    <row r="14">
      <c r="A14" t="inlineStr">
        <is>
          <t>receipt_reading_cost_per_claim_usd</t>
        </is>
      </c>
      <c r="B14" s="3" t="n">
        <v>0.01</v>
      </c>
      <c r="C14" t="n">
        <v>0.002</v>
      </c>
      <c r="D14" t="n">
        <v>0.03</v>
      </c>
      <c r="E14" t="inlineStr">
        <is>
          <t>USD/claim</t>
        </is>
      </c>
      <c r="F14" t="inlineStr">
        <is>
          <t>assumption</t>
        </is>
      </c>
      <c r="G14" t="inlineStr">
        <is>
          <t>Cost of reading receipt photos (OCR or vision model); NOT measured: the prototype used receipt text</t>
        </is>
      </c>
    </row>
    <row r="15">
      <c r="A15" t="inlineStr">
        <is>
          <t>build_cost</t>
        </is>
      </c>
      <c r="B15" s="3" t="n">
        <v>60000</v>
      </c>
      <c r="C15" t="n">
        <v>25000</v>
      </c>
      <c r="D15" t="n">
        <v>120000</v>
      </c>
      <c r="E15" t="inlineStr">
        <is>
          <t>AED</t>
        </is>
      </c>
      <c r="F15" t="inlineStr">
        <is>
          <t>assumption</t>
        </is>
      </c>
      <c r="G15" t="inlineStr">
        <is>
          <t>One-off build: about 8 weeks of a developer, integration and a security review</t>
        </is>
      </c>
    </row>
    <row r="16">
      <c r="A16" t="inlineStr">
        <is>
          <t>run_cost_per_year</t>
        </is>
      </c>
      <c r="B16" s="3" t="n">
        <v>24000</v>
      </c>
      <c r="C16" t="n">
        <v>12000</v>
      </c>
      <c r="D16" t="n">
        <v>48000</v>
      </c>
      <c r="E16" t="inlineStr">
        <is>
          <t>AED/year</t>
        </is>
      </c>
      <c r="F16" t="inlineStr">
        <is>
          <t>assumption</t>
        </is>
      </c>
      <c r="G16" t="inlineStr">
        <is>
          <t>Hosting, monitoring, prompt and policy updates, support</t>
        </is>
      </c>
    </row>
    <row r="18">
      <c r="A18" s="2" t="inlineStr">
        <is>
          <t>Result</t>
        </is>
      </c>
      <c r="B18" s="2" t="inlineStr">
        <is>
          <t>Value (formula)</t>
        </is>
      </c>
      <c r="C18" s="2" t="inlineStr">
        <is>
          <t>Formula in words</t>
        </is>
      </c>
    </row>
    <row r="19">
      <c r="A19" t="inlineStr">
        <is>
          <t>benefit_rework</t>
        </is>
      </c>
      <c r="B19">
        <f>B4*B9*B10*B11/60*B5</f>
        <v/>
      </c>
      <c r="C19" t="inlineStr">
        <is>
          <t>annual_claims * rejection_rate * prevent_share * rework_staff_minutes / 60 * staff_cost_per_hour</t>
        </is>
      </c>
    </row>
    <row r="20">
      <c r="A20" t="inlineStr">
        <is>
          <t>benefit_checks</t>
        </is>
      </c>
      <c r="B20">
        <f>B4*(B12-B13)/60*B5</f>
        <v/>
      </c>
      <c r="C20" t="inlineStr">
        <is>
          <t>annual_claims * (admin_minutes_saved_per_claim - employee_minutes_added_per_claim) / 60 * staff_cost_per_hour</t>
        </is>
      </c>
    </row>
    <row r="21">
      <c r="A21" t="inlineStr">
        <is>
          <t>annual_benefit</t>
        </is>
      </c>
      <c r="B21">
        <f>B19+B20</f>
        <v/>
      </c>
      <c r="C21" t="inlineStr">
        <is>
          <t>benefit_rework + benefit_checks</t>
        </is>
      </c>
    </row>
    <row r="22">
      <c r="A22" t="inlineStr">
        <is>
          <t>ai_cost_per_claim_aed</t>
        </is>
      </c>
      <c r="B22">
        <f>(B8+B14)*B7</f>
        <v/>
      </c>
      <c r="C22" t="inlineStr">
        <is>
          <t>(llm_cost_per_claim_usd + receipt_reading_cost_per_claim_usd) * usd_to_aed</t>
        </is>
      </c>
    </row>
    <row r="23">
      <c r="A23" t="inlineStr">
        <is>
          <t>annual_ai_cost</t>
        </is>
      </c>
      <c r="B23">
        <f>B4*B22</f>
        <v/>
      </c>
      <c r="C23" t="inlineStr">
        <is>
          <t>annual_claims * ai_cost_per_claim_aed</t>
        </is>
      </c>
    </row>
    <row r="24">
      <c r="A24" t="inlineStr">
        <is>
          <t>net_annual</t>
        </is>
      </c>
      <c r="B24">
        <f>B21-B23-B16</f>
        <v/>
      </c>
      <c r="C24" t="inlineStr">
        <is>
          <t>annual_benefit - annual_ai_cost - run_cost_per_year</t>
        </is>
      </c>
    </row>
    <row r="25">
      <c r="A25" t="inlineStr">
        <is>
          <t>three_year_net</t>
        </is>
      </c>
      <c r="B25">
        <f>3*B24-B15</f>
        <v/>
      </c>
      <c r="C25" t="inlineStr">
        <is>
          <t>3 * net_annual - build_cost</t>
        </is>
      </c>
    </row>
    <row r="26">
      <c r="A26" t="inlineStr">
        <is>
          <t>benefit_per_claim</t>
        </is>
      </c>
      <c r="B26">
        <f>B21/B4</f>
        <v/>
      </c>
      <c r="C26" t="inlineStr">
        <is>
          <t>annual_benefit / annual_claims</t>
        </is>
      </c>
    </row>
    <row r="27">
      <c r="A27" t="inlineStr">
        <is>
          <t>break_even_claims_per_year</t>
        </is>
      </c>
      <c r="B27">
        <f>(B15/3+B16)/(B26-B22)</f>
        <v/>
      </c>
      <c r="C27" t="inlineStr">
        <is>
          <t>(build_cost / 3 + run_cost_per_year) / (benefit_per_claim - ai_cost_per_claim_aed)</t>
        </is>
      </c>
    </row>
    <row r="28">
      <c r="A28" t="inlineStr">
        <is>
          <t>payback_months</t>
        </is>
      </c>
      <c r="B28">
        <f>IF(B24&gt;0,B15/(B24/12),"no payback")</f>
        <v/>
      </c>
      <c r="C28" t="inlineStr">
        <is>
          <t>build_cost / (net_annual / 12), only if net_annual &gt;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12" customWidth="1" min="4" max="4"/>
    <col width="16" customWidth="1" min="5" max="5"/>
    <col width="22" customWidth="1" min="6" max="6"/>
    <col width="70" customWidth="1" min="7" max="7"/>
  </cols>
  <sheetData>
    <row r="1">
      <c r="A1" s="1" t="inlineStr">
        <is>
          <t>UC02 Approver assistant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Low</t>
        </is>
      </c>
      <c r="D3" s="2" t="inlineStr">
        <is>
          <t>High</t>
        </is>
      </c>
      <c r="E3" s="2" t="inlineStr">
        <is>
          <t>Unit</t>
        </is>
      </c>
      <c r="F3" s="2" t="inlineStr">
        <is>
          <t>Source</t>
        </is>
      </c>
      <c r="G3" s="2" t="inlineStr">
        <is>
          <t>Description</t>
        </is>
      </c>
    </row>
    <row r="4">
      <c r="A4" t="inlineStr">
        <is>
          <t>annual_claims</t>
        </is>
      </c>
      <c r="B4" s="3" t="n">
        <v>8260</v>
      </c>
      <c r="C4" t="n">
        <v>4130</v>
      </c>
      <c r="D4" t="n">
        <v>12390</v>
      </c>
      <c r="E4" t="inlineStr">
        <is>
          <t>claims/year</t>
        </is>
      </c>
      <c r="F4" t="inlineStr">
        <is>
          <t>measured: event log</t>
        </is>
      </c>
      <c r="G4" t="inlineStr">
        <is>
          <t>Claims per year (set from the event log's 2018 volume when the model is built)</t>
        </is>
      </c>
    </row>
    <row r="5">
      <c r="A5" t="inlineStr">
        <is>
          <t>staff_cost_per_hour</t>
        </is>
      </c>
      <c r="B5" s="3" t="n">
        <v>120</v>
      </c>
      <c r="C5" t="n">
        <v>80</v>
      </c>
      <c r="D5" t="n">
        <v>180</v>
      </c>
      <c r="E5" t="inlineStr">
        <is>
          <t>AED/hour</t>
        </is>
      </c>
      <c r="F5" t="inlineStr">
        <is>
          <t>assumption</t>
        </is>
      </c>
      <c r="G5" t="inlineStr">
        <is>
          <t>Loaded cost of an employee or finance clerk hour (blended, Dubai)</t>
        </is>
      </c>
    </row>
    <row r="6">
      <c r="A6" t="inlineStr">
        <is>
          <t>approver_cost_per_hour</t>
        </is>
      </c>
      <c r="B6" s="3" t="n">
        <v>300</v>
      </c>
      <c r="C6" t="n">
        <v>200</v>
      </c>
      <c r="D6" t="n">
        <v>400</v>
      </c>
      <c r="E6" t="inlineStr">
        <is>
          <t>AED/hour</t>
        </is>
      </c>
      <c r="F6" t="inlineStr">
        <is>
          <t>assumption</t>
        </is>
      </c>
      <c r="G6" t="inlineStr">
        <is>
          <t>Loaded cost of a supervisor or budget-owner hour</t>
        </is>
      </c>
    </row>
    <row r="7">
      <c r="A7" t="inlineStr">
        <is>
          <t>usd_to_aed</t>
        </is>
      </c>
      <c r="B7" s="3" t="n">
        <v>3.6725</v>
      </c>
      <c r="C7" t="n">
        <v>3.6725</v>
      </c>
      <c r="D7" t="n">
        <v>3.6725</v>
      </c>
      <c r="E7" t="inlineStr">
        <is>
          <t>AED per USD</t>
        </is>
      </c>
      <c r="F7" t="inlineStr">
        <is>
          <t>fact: UAE dirham peg</t>
        </is>
      </c>
      <c r="G7" t="inlineStr">
        <is>
          <t>US dollar to UAE dirham (fixed peg)</t>
        </is>
      </c>
    </row>
    <row r="8">
      <c r="A8" t="inlineStr">
        <is>
          <t>llm_cost_per_claim_usd</t>
        </is>
      </c>
      <c r="B8" s="3" t="n">
        <v>0</v>
      </c>
      <c r="C8" t="n">
        <v>0</v>
      </c>
      <c r="D8" t="n">
        <v>0</v>
      </c>
      <c r="E8" t="inlineStr">
        <is>
          <t>USD/claim</t>
        </is>
      </c>
      <c r="F8" t="inlineStr">
        <is>
          <t>measured: prototype</t>
        </is>
      </c>
      <c r="G8" t="inlineStr">
        <is>
          <t>Model cost per claim (set from the measured prototype cost when the model is built)</t>
        </is>
      </c>
    </row>
    <row r="9">
      <c r="A9" t="inlineStr">
        <is>
          <t>approvals_per_claim</t>
        </is>
      </c>
      <c r="B9" s="3" t="n">
        <v>1.298666666666667</v>
      </c>
      <c r="C9" t="n">
        <v>1.298666666666667</v>
      </c>
      <c r="D9" t="n">
        <v>1.298666666666667</v>
      </c>
      <c r="E9" t="inlineStr">
        <is>
          <t>approvals/claim</t>
        </is>
      </c>
      <c r="F9" t="inlineStr">
        <is>
          <t>measured: event log</t>
        </is>
      </c>
      <c r="G9" t="inlineStr">
        <is>
          <t>Supervisor and budget-owner approvals per claim (set from the event log when the model is built)</t>
        </is>
      </c>
    </row>
    <row r="10">
      <c r="A10" t="inlineStr">
        <is>
          <t>approver_minutes_saved</t>
        </is>
      </c>
      <c r="B10" s="3" t="n">
        <v>1.5</v>
      </c>
      <c r="C10" t="n">
        <v>0.5</v>
      </c>
      <c r="D10" t="n">
        <v>3</v>
      </c>
      <c r="E10" t="inlineStr">
        <is>
          <t>minutes</t>
        </is>
      </c>
      <c r="F10" t="inlineStr">
        <is>
          <t>assumption</t>
        </is>
      </c>
      <c r="G10" t="inlineStr">
        <is>
          <t>Approver minutes saved per approval by the one-line summary</t>
        </is>
      </c>
    </row>
    <row r="11">
      <c r="A11" t="inlineStr">
        <is>
          <t>build_cost</t>
        </is>
      </c>
      <c r="B11" s="3" t="n">
        <v>40000</v>
      </c>
      <c r="C11" t="n">
        <v>20000</v>
      </c>
      <c r="D11" t="n">
        <v>80000</v>
      </c>
      <c r="E11" t="inlineStr">
        <is>
          <t>AED</t>
        </is>
      </c>
      <c r="F11" t="inlineStr">
        <is>
          <t>assumption</t>
        </is>
      </c>
      <c r="G11" t="inlineStr">
        <is>
          <t>One-off build: reminders already exist (switched off); summary card and testing</t>
        </is>
      </c>
    </row>
    <row r="12">
      <c r="A12" t="inlineStr">
        <is>
          <t>run_cost_per_year</t>
        </is>
      </c>
      <c r="B12" s="3" t="n">
        <v>15000</v>
      </c>
      <c r="C12" t="n">
        <v>8000</v>
      </c>
      <c r="D12" t="n">
        <v>30000</v>
      </c>
      <c r="E12" t="inlineStr">
        <is>
          <t>AED/year</t>
        </is>
      </c>
      <c r="F12" t="inlineStr">
        <is>
          <t>assumption</t>
        </is>
      </c>
      <c r="G12" t="inlineStr">
        <is>
          <t>Hosting, monitoring and support</t>
        </is>
      </c>
    </row>
    <row r="14">
      <c r="A14" s="2" t="inlineStr">
        <is>
          <t>Result</t>
        </is>
      </c>
      <c r="B14" s="2" t="inlineStr">
        <is>
          <t>Value (formula)</t>
        </is>
      </c>
      <c r="C14" s="2" t="inlineStr">
        <is>
          <t>Formula in words</t>
        </is>
      </c>
    </row>
    <row r="15">
      <c r="A15" t="inlineStr">
        <is>
          <t>annual_benefit</t>
        </is>
      </c>
      <c r="B15">
        <f>B4*B9*B10/60*B6</f>
        <v/>
      </c>
      <c r="C15" t="inlineStr">
        <is>
          <t>annual_claims * approvals_per_claim * approver_minutes_saved / 60 * approver_cost_per_hour</t>
        </is>
      </c>
    </row>
    <row r="16">
      <c r="A16" t="inlineStr">
        <is>
          <t>ai_cost_per_claim_aed</t>
        </is>
      </c>
      <c r="B16">
        <f>B8*B9*B7</f>
        <v/>
      </c>
      <c r="C16" t="inlineStr">
        <is>
          <t>llm_cost_per_claim_usd * approvals_per_claim * usd_to_aed</t>
        </is>
      </c>
    </row>
    <row r="17">
      <c r="A17" t="inlineStr">
        <is>
          <t>annual_ai_cost</t>
        </is>
      </c>
      <c r="B17">
        <f>B4*B16</f>
        <v/>
      </c>
      <c r="C17" t="inlineStr">
        <is>
          <t>annual_claims * ai_cost_per_claim_aed</t>
        </is>
      </c>
    </row>
    <row r="18">
      <c r="A18" t="inlineStr">
        <is>
          <t>net_annual</t>
        </is>
      </c>
      <c r="B18">
        <f>B15-B17-B12</f>
        <v/>
      </c>
      <c r="C18" t="inlineStr">
        <is>
          <t>annual_benefit - annual_ai_cost - run_cost_per_year</t>
        </is>
      </c>
    </row>
    <row r="19">
      <c r="A19" t="inlineStr">
        <is>
          <t>three_year_net</t>
        </is>
      </c>
      <c r="B19">
        <f>3*B18-B11</f>
        <v/>
      </c>
      <c r="C19" t="inlineStr">
        <is>
          <t>3 * net_annual - build_cost</t>
        </is>
      </c>
    </row>
    <row r="20">
      <c r="A20" t="inlineStr">
        <is>
          <t>benefit_per_claim</t>
        </is>
      </c>
      <c r="B20">
        <f>B15/B4</f>
        <v/>
      </c>
      <c r="C20" t="inlineStr">
        <is>
          <t>annual_benefit / annual_claims</t>
        </is>
      </c>
    </row>
    <row r="21">
      <c r="A21" t="inlineStr">
        <is>
          <t>break_even_claims_per_year</t>
        </is>
      </c>
      <c r="B21">
        <f>(B11/3+B12)/(B20-B16)</f>
        <v/>
      </c>
      <c r="C21" t="inlineStr">
        <is>
          <t>(build_cost / 3 + run_cost_per_year) / (benefit_per_claim - ai_cost_per_claim_aed)</t>
        </is>
      </c>
    </row>
    <row r="22">
      <c r="A22" t="inlineStr">
        <is>
          <t>payback_months</t>
        </is>
      </c>
      <c r="B22">
        <f>IF(B18&gt;0,B11/(B18/12),"no payback")</f>
        <v/>
      </c>
      <c r="C22" t="inlineStr">
        <is>
          <t>build_cost / (net_annual / 12), only if net_annual &gt;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One assumption at a time at its low / high value -&gt; 3-year net (AED). Values from Python.</t>
        </is>
      </c>
    </row>
    <row r="3">
      <c r="A3" s="2" t="inlineStr">
        <is>
          <t>UC01 Receipt and policy pre-check</t>
        </is>
      </c>
    </row>
    <row r="4">
      <c r="A4" s="2" t="inlineStr">
        <is>
          <t>Input</t>
        </is>
      </c>
      <c r="B4" s="2" t="inlineStr">
        <is>
          <t>Low</t>
        </is>
      </c>
      <c r="C4" s="2" t="inlineStr">
        <is>
          <t>High</t>
        </is>
      </c>
      <c r="D4" s="2" t="inlineStr">
        <is>
          <t>3-year net at low</t>
        </is>
      </c>
      <c r="E4" s="2" t="inlineStr">
        <is>
          <t>3-year net at high</t>
        </is>
      </c>
      <c r="F4" s="2" t="inlineStr">
        <is>
          <t>Swing</t>
        </is>
      </c>
    </row>
    <row r="5">
      <c r="A5" t="inlineStr">
        <is>
          <t>admin_minutes_saved_per_claim</t>
        </is>
      </c>
      <c r="B5" t="n">
        <v>0</v>
      </c>
      <c r="C5" t="n">
        <v>3</v>
      </c>
      <c r="D5" t="n">
        <v>-54778</v>
      </c>
      <c r="E5" t="n">
        <v>93902</v>
      </c>
      <c r="F5" t="n">
        <v>148680</v>
      </c>
    </row>
    <row r="6">
      <c r="A6" t="inlineStr">
        <is>
          <t>annual_claims</t>
        </is>
      </c>
      <c r="B6" t="n">
        <v>4130</v>
      </c>
      <c r="C6" t="n">
        <v>12390</v>
      </c>
      <c r="D6" t="n">
        <v>-68609</v>
      </c>
      <c r="E6" t="n">
        <v>58173</v>
      </c>
      <c r="F6" t="n">
        <v>126782</v>
      </c>
    </row>
    <row r="7">
      <c r="A7" t="inlineStr">
        <is>
          <t>run_cost_per_year</t>
        </is>
      </c>
      <c r="B7" t="n">
        <v>12000</v>
      </c>
      <c r="C7" t="n">
        <v>48000</v>
      </c>
      <c r="D7" t="n">
        <v>30782</v>
      </c>
      <c r="E7" t="n">
        <v>-77218</v>
      </c>
      <c r="F7" t="n">
        <v>108000</v>
      </c>
    </row>
    <row r="8">
      <c r="A8" t="inlineStr">
        <is>
          <t>staff_cost_per_hour</t>
        </is>
      </c>
      <c r="B8" t="n">
        <v>80</v>
      </c>
      <c r="C8" t="n">
        <v>180</v>
      </c>
      <c r="D8" t="n">
        <v>-47782</v>
      </c>
      <c r="E8" t="n">
        <v>58628</v>
      </c>
      <c r="F8" t="n">
        <v>106410</v>
      </c>
    </row>
    <row r="9">
      <c r="A9" t="inlineStr">
        <is>
          <t>rework_staff_minutes</t>
        </is>
      </c>
      <c r="B9" t="n">
        <v>20</v>
      </c>
      <c r="C9" t="n">
        <v>60</v>
      </c>
      <c r="D9" t="n">
        <v>-56674</v>
      </c>
      <c r="E9" t="n">
        <v>46238</v>
      </c>
      <c r="F9" t="n">
        <v>102912</v>
      </c>
    </row>
    <row r="10">
      <c r="A10" t="inlineStr">
        <is>
          <t>prevent_share</t>
        </is>
      </c>
      <c r="B10" t="n">
        <v>0.2</v>
      </c>
      <c r="C10" t="n">
        <v>0.6</v>
      </c>
      <c r="D10" t="n">
        <v>-56674</v>
      </c>
      <c r="E10" t="n">
        <v>46238</v>
      </c>
      <c r="F10" t="n">
        <v>102912</v>
      </c>
    </row>
    <row r="11">
      <c r="A11" t="inlineStr">
        <is>
          <t>build_cost</t>
        </is>
      </c>
      <c r="B11" t="n">
        <v>25000</v>
      </c>
      <c r="C11" t="n">
        <v>120000</v>
      </c>
      <c r="D11" t="n">
        <v>29782</v>
      </c>
      <c r="E11" t="n">
        <v>-65218</v>
      </c>
      <c r="F11" t="n">
        <v>95000</v>
      </c>
    </row>
    <row r="12">
      <c r="A12" t="inlineStr">
        <is>
          <t>employee_minutes_added_per_claim</t>
        </is>
      </c>
      <c r="B12" t="n">
        <v>0</v>
      </c>
      <c r="C12" t="n">
        <v>1.5</v>
      </c>
      <c r="D12" t="n">
        <v>19562</v>
      </c>
      <c r="E12" t="n">
        <v>-54778</v>
      </c>
      <c r="F12" t="n">
        <v>74340</v>
      </c>
    </row>
    <row r="13">
      <c r="A13" t="inlineStr">
        <is>
          <t>rejection_rate</t>
        </is>
      </c>
      <c r="B13" t="n">
        <v>0.09084745762711864</v>
      </c>
      <c r="C13" t="n">
        <v>0.1687167070217918</v>
      </c>
      <c r="D13" t="n">
        <v>-36092</v>
      </c>
      <c r="E13" t="n">
        <v>25656</v>
      </c>
      <c r="F13" t="n">
        <v>61747</v>
      </c>
    </row>
    <row r="14">
      <c r="A14" t="inlineStr">
        <is>
          <t>receipt_reading_cost_per_claim_usd</t>
        </is>
      </c>
      <c r="B14" t="n">
        <v>0.002</v>
      </c>
      <c r="C14" t="n">
        <v>0.03</v>
      </c>
      <c r="D14" t="n">
        <v>-4490</v>
      </c>
      <c r="E14" t="n">
        <v>-7038</v>
      </c>
      <c r="F14" t="n">
        <v>2548</v>
      </c>
    </row>
    <row r="15">
      <c r="A15" t="inlineStr">
        <is>
          <t>approver_cost_per_hour</t>
        </is>
      </c>
      <c r="B15" t="n">
        <v>200</v>
      </c>
      <c r="C15" t="n">
        <v>400</v>
      </c>
      <c r="D15" t="n">
        <v>-5218</v>
      </c>
      <c r="E15" t="n">
        <v>-5218</v>
      </c>
      <c r="F15" t="n">
        <v>0</v>
      </c>
    </row>
    <row r="28">
      <c r="A28" s="2" t="inlineStr">
        <is>
          <t>UC02 Approver assistant</t>
        </is>
      </c>
    </row>
    <row r="29">
      <c r="A29" s="2" t="inlineStr">
        <is>
          <t>Input</t>
        </is>
      </c>
      <c r="B29" s="2" t="inlineStr">
        <is>
          <t>Low</t>
        </is>
      </c>
      <c r="C29" s="2" t="inlineStr">
        <is>
          <t>High</t>
        </is>
      </c>
      <c r="D29" s="2" t="inlineStr">
        <is>
          <t>3-year net at low</t>
        </is>
      </c>
      <c r="E29" s="2" t="inlineStr">
        <is>
          <t>3-year net at high</t>
        </is>
      </c>
      <c r="F29" s="2" t="inlineStr">
        <is>
          <t>Swing</t>
        </is>
      </c>
    </row>
    <row r="30">
      <c r="A30" t="inlineStr">
        <is>
          <t>approver_minutes_saved</t>
        </is>
      </c>
      <c r="B30" t="n">
        <v>0.5</v>
      </c>
      <c r="C30" t="n">
        <v>3</v>
      </c>
      <c r="D30" t="n">
        <v>-4548</v>
      </c>
      <c r="E30" t="n">
        <v>397714</v>
      </c>
      <c r="F30" t="n">
        <v>402262</v>
      </c>
    </row>
    <row r="31">
      <c r="A31" t="inlineStr">
        <is>
          <t>annual_claims</t>
        </is>
      </c>
      <c r="B31" t="n">
        <v>4130</v>
      </c>
      <c r="C31" t="n">
        <v>12390</v>
      </c>
      <c r="D31" t="n">
        <v>35679</v>
      </c>
      <c r="E31" t="n">
        <v>277036</v>
      </c>
      <c r="F31" t="n">
        <v>241357</v>
      </c>
    </row>
    <row r="32">
      <c r="A32" t="inlineStr">
        <is>
          <t>approver_cost_per_hour</t>
        </is>
      </c>
      <c r="B32" t="n">
        <v>200</v>
      </c>
      <c r="C32" t="n">
        <v>400</v>
      </c>
      <c r="D32" t="n">
        <v>75905</v>
      </c>
      <c r="E32" t="n">
        <v>236810</v>
      </c>
      <c r="F32" t="n">
        <v>160905</v>
      </c>
    </row>
    <row r="33">
      <c r="A33" t="inlineStr">
        <is>
          <t>run_cost_per_year</t>
        </is>
      </c>
      <c r="B33" t="n">
        <v>8000</v>
      </c>
      <c r="C33" t="n">
        <v>30000</v>
      </c>
      <c r="D33" t="n">
        <v>177357</v>
      </c>
      <c r="E33" t="n">
        <v>111357</v>
      </c>
      <c r="F33" t="n">
        <v>66000</v>
      </c>
    </row>
    <row r="34">
      <c r="A34" t="inlineStr">
        <is>
          <t>build_cost</t>
        </is>
      </c>
      <c r="B34" t="n">
        <v>20000</v>
      </c>
      <c r="C34" t="n">
        <v>80000</v>
      </c>
      <c r="D34" t="n">
        <v>176357</v>
      </c>
      <c r="E34" t="n">
        <v>116357</v>
      </c>
      <c r="F34" t="n">
        <v>60000</v>
      </c>
    </row>
    <row r="35">
      <c r="A35" t="inlineStr">
        <is>
          <t>staff_cost_per_hour</t>
        </is>
      </c>
      <c r="B35" t="n">
        <v>80</v>
      </c>
      <c r="C35" t="n">
        <v>180</v>
      </c>
      <c r="D35" t="n">
        <v>156357</v>
      </c>
      <c r="E35" t="n">
        <v>156357</v>
      </c>
      <c r="F3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2026-10-08T16:14:44Z</dcterms:created>
  <dcterms:modified xsi:type="dcterms:W3CDTF">2026-10-08T16:14:44Z</dcterms:modified>
</cp:coreProperties>
</file>